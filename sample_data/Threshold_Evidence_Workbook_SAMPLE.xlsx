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4849a7ae8b19697/Desktop/"/>
    </mc:Choice>
  </mc:AlternateContent>
  <xr:revisionPtr revIDLastSave="11" documentId="8_{EBAADFB1-C810-41E0-8C86-5E095B08DC64}" xr6:coauthVersionLast="47" xr6:coauthVersionMax="47" xr10:uidLastSave="{800C9B59-9B74-41BA-A671-52F88E2BB02D}"/>
  <bookViews>
    <workbookView xWindow="-108" yWindow="-108" windowWidth="23256" windowHeight="12348" tabRatio="500" activeTab="1" xr2:uid="{00000000-000D-0000-FFFF-FFFF00000000}"/>
  </bookViews>
  <sheets>
    <sheet name="Distance Check" sheetId="2" r:id="rId1"/>
    <sheet name="Acoustic Calibration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1" i="3" l="1"/>
  <c r="N11" i="3"/>
  <c r="M11" i="3"/>
  <c r="L11" i="3"/>
  <c r="O10" i="3"/>
  <c r="N10" i="3"/>
  <c r="M10" i="3"/>
  <c r="L10" i="3"/>
  <c r="O9" i="3"/>
  <c r="N9" i="3"/>
  <c r="M9" i="3"/>
  <c r="L9" i="3"/>
  <c r="O8" i="3"/>
  <c r="N8" i="3"/>
  <c r="B18" i="3" s="1"/>
  <c r="M8" i="3"/>
  <c r="L8" i="3"/>
  <c r="O7" i="3"/>
  <c r="N7" i="3"/>
  <c r="M7" i="3"/>
  <c r="B15" i="3" s="1"/>
  <c r="L7" i="3"/>
  <c r="B14" i="3" s="1"/>
  <c r="B16" i="3" s="1"/>
  <c r="B26" i="2"/>
  <c r="D23" i="2"/>
  <c r="F23" i="2" s="1"/>
  <c r="D22" i="2"/>
  <c r="F22" i="2" s="1"/>
  <c r="D21" i="2"/>
  <c r="F21" i="2" s="1"/>
  <c r="D20" i="2"/>
  <c r="F20" i="2" s="1"/>
  <c r="D19" i="2"/>
  <c r="F19" i="2" s="1"/>
  <c r="D18" i="2"/>
  <c r="F18" i="2" s="1"/>
  <c r="D17" i="2"/>
  <c r="F17" i="2" s="1"/>
  <c r="D16" i="2"/>
  <c r="F16" i="2" s="1"/>
  <c r="D15" i="2"/>
  <c r="F15" i="2" s="1"/>
  <c r="D14" i="2"/>
  <c r="F14" i="2" s="1"/>
  <c r="D13" i="2"/>
  <c r="F13" i="2" s="1"/>
  <c r="D12" i="2"/>
  <c r="F12" i="2" s="1"/>
  <c r="D11" i="2"/>
  <c r="F11" i="2" s="1"/>
  <c r="D10" i="2"/>
  <c r="F10" i="2" s="1"/>
  <c r="D9" i="2"/>
  <c r="F9" i="2" s="1"/>
  <c r="D8" i="2"/>
  <c r="F8" i="2" s="1"/>
  <c r="D7" i="2"/>
  <c r="F7" i="2" s="1"/>
  <c r="D6" i="2"/>
  <c r="F6" i="2" s="1"/>
  <c r="B19" i="3" l="1"/>
  <c r="B20" i="3" s="1"/>
  <c r="P8" i="3"/>
  <c r="B21" i="3"/>
  <c r="P10" i="3"/>
  <c r="P9" i="3"/>
  <c r="P11" i="3"/>
  <c r="E7" i="2"/>
  <c r="E11" i="2"/>
  <c r="E15" i="2"/>
  <c r="E19" i="2"/>
  <c r="E23" i="2"/>
  <c r="E8" i="2"/>
  <c r="E12" i="2"/>
  <c r="E16" i="2"/>
  <c r="E20" i="2"/>
  <c r="B27" i="2"/>
  <c r="E9" i="2"/>
  <c r="E13" i="2"/>
  <c r="E17" i="2"/>
  <c r="E21" i="2"/>
  <c r="B30" i="2"/>
  <c r="E6" i="2"/>
  <c r="E10" i="2"/>
  <c r="E14" i="2"/>
  <c r="E18" i="2"/>
  <c r="E22" i="2"/>
  <c r="B29" i="2" l="1"/>
  <c r="B28" i="2"/>
</calcChain>
</file>

<file path=xl/sharedStrings.xml><?xml version="1.0" encoding="utf-8"?>
<sst xmlns="http://schemas.openxmlformats.org/spreadsheetml/2006/main" count="52" uniqueCount="50">
  <si>
    <t>Trial</t>
  </si>
  <si>
    <t>Ruler distance (cm)</t>
  </si>
  <si>
    <t>OLED reading (cm)</t>
  </si>
  <si>
    <t>Error (cm)</t>
  </si>
  <si>
    <t>Abs error (cm)</t>
  </si>
  <si>
    <t>Error (%)</t>
  </si>
  <si>
    <t>Summary</t>
  </si>
  <si>
    <t>Value</t>
  </si>
  <si>
    <t>Trials entered</t>
  </si>
  <si>
    <t>Mean error / bias (cm)</t>
  </si>
  <si>
    <t>Mean absolute error (cm)</t>
  </si>
  <si>
    <t>Max absolute error (cm)</t>
  </si>
  <si>
    <t>Std dev of error (cm)</t>
  </si>
  <si>
    <t>Note</t>
  </si>
  <si>
    <t>Air temperature (deg C)</t>
  </si>
  <si>
    <t>k (std devs above quiet mean)</t>
  </si>
  <si>
    <t>Condition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</si>
  <si>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</si>
  <si>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</si>
  <si>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</si>
  <si>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</si>
  <si>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</si>
  <si>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</si>
  <si>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</si>
  <si>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</si>
  <si>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</si>
  <si>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</si>
  <si>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Mean</t>
  </si>
  <si>
    <t>Std dev</t>
  </si>
  <si>
    <t>Min</t>
  </si>
  <si>
    <t>Max</t>
  </si>
  <si>
    <t>Above threshold? (all readings)</t>
  </si>
  <si>
    <t>Quiet room, car off</t>
  </si>
  <si>
    <t>(baseline row)</t>
  </si>
  <si>
    <t>Car on, 30 cm from sensor</t>
  </si>
  <si>
    <t>Car on, 20 cm from sensor</t>
  </si>
  <si>
    <t>Car on, 10 cm from sensor</t>
  </si>
  <si>
    <t>Control: clap / speech (not a vehicle)</t>
  </si>
  <si>
    <t>Threshold derivation</t>
  </si>
  <si>
    <t>Quiet mean</t>
  </si>
  <si>
    <t>Quiet std dev</t>
  </si>
  <si>
    <t>Threshold = mean + k x std dev</t>
  </si>
  <si>
    <t>Lowest car-on reading (any distance)</t>
  </si>
  <si>
    <t>Margin above threshold</t>
  </si>
  <si>
    <t>Car readings separate from quiet?</t>
  </si>
  <si>
    <t>Control (clap/speech) average above threshold?</t>
  </si>
  <si>
    <t>Acoustic threshold calibration</t>
  </si>
  <si>
    <t>Ultrasonic distance check (ruler vs OLED)</t>
  </si>
  <si>
    <t>Actual room temperature.</t>
  </si>
  <si>
    <t xml:space="preserve">Theory 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</si>
</sst>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0"/>
    <numFmt numFmtId="167" formatCode="0.000%"/>
  </numFmts>
  <fonts count="8" x14ac:knownFonts="1">
    <font>
      <sz val="11"/>
      <color theme="1"/>
      <name val="Calibri"/>
      <family val="2"/>
      <charset val="1"/>
    </font>
    <font>
      <b/>
      <sz val="13"/>
      <color rgb="FFC00000"/>
      <name val="Cambria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i/>
      <sz val="10"/>
      <color rgb="FF7F7F7F"/>
      <name val="Arial"/>
      <charset val="1"/>
    </font>
    <font>
      <sz val="10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E2EFDA"/>
      </patternFill>
    </fill>
    <fill>
      <patternFill patternType="solid">
        <fgColor rgb="FFFFF9D6"/>
        <bgColor rgb="FFFFFFFF"/>
      </patternFill>
    </fill>
    <fill>
      <patternFill patternType="solid">
        <fgColor rgb="FFE2EFDA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164" fontId="6" fillId="3" borderId="1" xfId="0" applyNumberFormat="1" applyFont="1" applyFill="1" applyBorder="1"/>
    <xf numFmtId="0" fontId="2" fillId="0" borderId="1" xfId="0" applyFont="1" applyBorder="1"/>
    <xf numFmtId="0" fontId="7" fillId="4" borderId="1" xfId="0" applyFont="1" applyFill="1" applyBorder="1"/>
    <xf numFmtId="164" fontId="2" fillId="0" borderId="1" xfId="0" applyNumberFormat="1" applyFont="1" applyBorder="1"/>
    <xf numFmtId="0" fontId="3" fillId="0" borderId="1" xfId="0" applyFont="1" applyBorder="1"/>
    <xf numFmtId="0" fontId="2" fillId="5" borderId="1" xfId="0" applyFont="1" applyFill="1" applyBorder="1"/>
    <xf numFmtId="2" fontId="2" fillId="5" borderId="1" xfId="0" applyNumberFormat="1" applyFont="1" applyFill="1" applyBorder="1"/>
    <xf numFmtId="165" fontId="7" fillId="4" borderId="1" xfId="0" applyNumberFormat="1" applyFont="1" applyFill="1" applyBorder="1"/>
    <xf numFmtId="165" fontId="2" fillId="0" borderId="1" xfId="0" applyNumberFormat="1" applyFont="1" applyBorder="1"/>
    <xf numFmtId="2" fontId="2" fillId="0" borderId="1" xfId="0" applyNumberFormat="1" applyFont="1" applyBorder="1"/>
    <xf numFmtId="166" fontId="2" fillId="0" borderId="1" xfId="0" applyNumberFormat="1" applyFont="1" applyBorder="1"/>
    <xf numFmtId="165" fontId="6" fillId="3" borderId="1" xfId="0" applyNumberFormat="1" applyFont="1" applyFill="1" applyBorder="1"/>
    <xf numFmtId="0" fontId="4" fillId="0" borderId="1" xfId="0" applyFont="1" applyBorder="1"/>
    <xf numFmtId="165" fontId="2" fillId="5" borderId="1" xfId="0" applyNumberFormat="1" applyFont="1" applyFill="1" applyBorder="1"/>
    <xf numFmtId="2" fontId="7" fillId="0" borderId="1" xfId="0" applyNumberFormat="1" applyFont="1" applyFill="1" applyBorder="1"/>
    <xf numFmtId="1" fontId="7" fillId="0" borderId="1" xfId="0" applyNumberFormat="1" applyFont="1" applyFill="1" applyBorder="1"/>
    <xf numFmtId="0" fontId="3" fillId="0" borderId="1" xfId="0" applyFont="1" applyFill="1" applyBorder="1"/>
    <xf numFmtId="167" fontId="2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6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zoomScaleNormal="100" workbookViewId="0">
      <selection activeCell="B40" sqref="B40"/>
    </sheetView>
  </sheetViews>
  <sheetFormatPr defaultColWidth="8.6640625" defaultRowHeight="14.4" x14ac:dyDescent="0.3"/>
  <cols>
    <col min="1" max="1" width="42" customWidth="1"/>
    <col min="2" max="2" width="20" customWidth="1"/>
    <col min="3" max="3" width="52" customWidth="1"/>
    <col min="4" max="4" width="14" customWidth="1"/>
    <col min="5" max="5" width="16" customWidth="1"/>
    <col min="6" max="6" width="12" customWidth="1"/>
  </cols>
  <sheetData>
    <row r="1" spans="1:6" ht="17.25" customHeight="1" x14ac:dyDescent="0.3">
      <c r="A1" s="1" t="s">
        <v>47</v>
      </c>
    </row>
    <row r="2" spans="1:6" ht="15" customHeight="1" x14ac:dyDescent="0.3">
      <c r="A2" s="2"/>
    </row>
    <row r="4" spans="1:6" ht="15" customHeight="1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1:6" ht="15" customHeight="1" x14ac:dyDescent="0.3">
      <c r="A5" s="4"/>
      <c r="B5" s="4"/>
      <c r="C5" s="4"/>
      <c r="D5" s="4"/>
      <c r="E5" s="4"/>
      <c r="F5" s="5"/>
    </row>
    <row r="6" spans="1:6" ht="15" customHeight="1" x14ac:dyDescent="0.3">
      <c r="A6" s="6">
        <v>1</v>
      </c>
      <c r="B6" s="7">
        <v>10</v>
      </c>
      <c r="C6" s="7">
        <v>10</v>
      </c>
      <c r="D6" s="6">
        <f t="shared" ref="D6:D23" si="0">IF(OR(B6="",C6=""),"",C6-B6)</f>
        <v>0</v>
      </c>
      <c r="E6" s="6">
        <f t="shared" ref="E6:E23" si="1">IF(D6="","",ABS(D6))</f>
        <v>0</v>
      </c>
      <c r="F6" s="8">
        <f t="shared" ref="F6:F23" si="2">IF(D6="","",D6/B6)</f>
        <v>0</v>
      </c>
    </row>
    <row r="7" spans="1:6" ht="15" customHeight="1" x14ac:dyDescent="0.3">
      <c r="A7" s="6">
        <v>2</v>
      </c>
      <c r="B7" s="7">
        <v>10</v>
      </c>
      <c r="C7" s="7">
        <v>9</v>
      </c>
      <c r="D7" s="6">
        <f t="shared" si="0"/>
        <v>-1</v>
      </c>
      <c r="E7" s="6">
        <f t="shared" si="1"/>
        <v>1</v>
      </c>
      <c r="F7" s="8">
        <f t="shared" si="2"/>
        <v>-0.1</v>
      </c>
    </row>
    <row r="8" spans="1:6" ht="15" customHeight="1" x14ac:dyDescent="0.3">
      <c r="A8" s="6">
        <v>3</v>
      </c>
      <c r="B8" s="7">
        <v>10</v>
      </c>
      <c r="C8" s="7">
        <v>10</v>
      </c>
      <c r="D8" s="6">
        <f t="shared" si="0"/>
        <v>0</v>
      </c>
      <c r="E8" s="6">
        <f t="shared" si="1"/>
        <v>0</v>
      </c>
      <c r="F8" s="8">
        <f t="shared" si="2"/>
        <v>0</v>
      </c>
    </row>
    <row r="9" spans="1:6" ht="15" customHeight="1" x14ac:dyDescent="0.3">
      <c r="A9" s="6">
        <v>4</v>
      </c>
      <c r="B9" s="7">
        <v>15</v>
      </c>
      <c r="C9" s="7">
        <v>15</v>
      </c>
      <c r="D9" s="6">
        <f t="shared" si="0"/>
        <v>0</v>
      </c>
      <c r="E9" s="6">
        <f t="shared" si="1"/>
        <v>0</v>
      </c>
      <c r="F9" s="8">
        <f t="shared" si="2"/>
        <v>0</v>
      </c>
    </row>
    <row r="10" spans="1:6" ht="15" customHeight="1" x14ac:dyDescent="0.3">
      <c r="A10" s="6">
        <v>5</v>
      </c>
      <c r="B10" s="7">
        <v>15</v>
      </c>
      <c r="C10" s="7">
        <v>14</v>
      </c>
      <c r="D10" s="6">
        <f t="shared" si="0"/>
        <v>-1</v>
      </c>
      <c r="E10" s="6">
        <f t="shared" si="1"/>
        <v>1</v>
      </c>
      <c r="F10" s="8">
        <f t="shared" si="2"/>
        <v>-6.6666666666666666E-2</v>
      </c>
    </row>
    <row r="11" spans="1:6" ht="15" customHeight="1" x14ac:dyDescent="0.3">
      <c r="A11" s="6">
        <v>6</v>
      </c>
      <c r="B11" s="7">
        <v>15</v>
      </c>
      <c r="C11" s="7">
        <v>16</v>
      </c>
      <c r="D11" s="6">
        <f t="shared" si="0"/>
        <v>1</v>
      </c>
      <c r="E11" s="6">
        <f t="shared" si="1"/>
        <v>1</v>
      </c>
      <c r="F11" s="8">
        <f t="shared" si="2"/>
        <v>6.6666666666666666E-2</v>
      </c>
    </row>
    <row r="12" spans="1:6" ht="15" customHeight="1" x14ac:dyDescent="0.3">
      <c r="A12" s="6">
        <v>7</v>
      </c>
      <c r="B12" s="7">
        <v>20</v>
      </c>
      <c r="C12" s="7">
        <v>19</v>
      </c>
      <c r="D12" s="6">
        <f t="shared" si="0"/>
        <v>-1</v>
      </c>
      <c r="E12" s="6">
        <f t="shared" si="1"/>
        <v>1</v>
      </c>
      <c r="F12" s="8">
        <f t="shared" si="2"/>
        <v>-0.05</v>
      </c>
    </row>
    <row r="13" spans="1:6" ht="15" customHeight="1" x14ac:dyDescent="0.3">
      <c r="A13" s="6">
        <v>8</v>
      </c>
      <c r="B13" s="7">
        <v>20</v>
      </c>
      <c r="C13" s="7">
        <v>20</v>
      </c>
      <c r="D13" s="6">
        <f t="shared" si="0"/>
        <v>0</v>
      </c>
      <c r="E13" s="6">
        <f t="shared" si="1"/>
        <v>0</v>
      </c>
      <c r="F13" s="8">
        <f t="shared" si="2"/>
        <v>0</v>
      </c>
    </row>
    <row r="14" spans="1:6" ht="15" customHeight="1" x14ac:dyDescent="0.3">
      <c r="A14" s="6">
        <v>9</v>
      </c>
      <c r="B14" s="7">
        <v>20</v>
      </c>
      <c r="C14" s="7">
        <v>19</v>
      </c>
      <c r="D14" s="6">
        <f t="shared" si="0"/>
        <v>-1</v>
      </c>
      <c r="E14" s="6">
        <f t="shared" si="1"/>
        <v>1</v>
      </c>
      <c r="F14" s="8">
        <f t="shared" si="2"/>
        <v>-0.05</v>
      </c>
    </row>
    <row r="15" spans="1:6" ht="15" customHeight="1" x14ac:dyDescent="0.3">
      <c r="A15" s="6">
        <v>10</v>
      </c>
      <c r="B15" s="7">
        <v>25</v>
      </c>
      <c r="C15" s="7">
        <v>25</v>
      </c>
      <c r="D15" s="6">
        <f t="shared" si="0"/>
        <v>0</v>
      </c>
      <c r="E15" s="6">
        <f t="shared" si="1"/>
        <v>0</v>
      </c>
      <c r="F15" s="8">
        <f t="shared" si="2"/>
        <v>0</v>
      </c>
    </row>
    <row r="16" spans="1:6" ht="15" customHeight="1" x14ac:dyDescent="0.3">
      <c r="A16" s="6">
        <v>11</v>
      </c>
      <c r="B16" s="7">
        <v>25</v>
      </c>
      <c r="C16" s="7">
        <v>24</v>
      </c>
      <c r="D16" s="6">
        <f t="shared" si="0"/>
        <v>-1</v>
      </c>
      <c r="E16" s="6">
        <f t="shared" si="1"/>
        <v>1</v>
      </c>
      <c r="F16" s="8">
        <f t="shared" si="2"/>
        <v>-0.04</v>
      </c>
    </row>
    <row r="17" spans="1:6" ht="15" customHeight="1" x14ac:dyDescent="0.3">
      <c r="A17" s="6">
        <v>12</v>
      </c>
      <c r="B17" s="7">
        <v>25</v>
      </c>
      <c r="C17" s="7">
        <v>24</v>
      </c>
      <c r="D17" s="6">
        <f t="shared" si="0"/>
        <v>-1</v>
      </c>
      <c r="E17" s="6">
        <f t="shared" si="1"/>
        <v>1</v>
      </c>
      <c r="F17" s="8">
        <f t="shared" si="2"/>
        <v>-0.04</v>
      </c>
    </row>
    <row r="18" spans="1:6" ht="15" customHeight="1" x14ac:dyDescent="0.3">
      <c r="A18" s="6">
        <v>13</v>
      </c>
      <c r="B18" s="7">
        <v>30</v>
      </c>
      <c r="C18" s="7">
        <v>28</v>
      </c>
      <c r="D18" s="6">
        <f t="shared" si="0"/>
        <v>-2</v>
      </c>
      <c r="E18" s="6">
        <f t="shared" si="1"/>
        <v>2</v>
      </c>
      <c r="F18" s="8">
        <f t="shared" si="2"/>
        <v>-6.6666666666666666E-2</v>
      </c>
    </row>
    <row r="19" spans="1:6" ht="15" customHeight="1" x14ac:dyDescent="0.3">
      <c r="A19" s="6">
        <v>14</v>
      </c>
      <c r="B19" s="7">
        <v>30</v>
      </c>
      <c r="C19" s="7">
        <v>29</v>
      </c>
      <c r="D19" s="6">
        <f t="shared" si="0"/>
        <v>-1</v>
      </c>
      <c r="E19" s="6">
        <f t="shared" si="1"/>
        <v>1</v>
      </c>
      <c r="F19" s="8">
        <f t="shared" si="2"/>
        <v>-3.3333333333333333E-2</v>
      </c>
    </row>
    <row r="20" spans="1:6" ht="15" customHeight="1" x14ac:dyDescent="0.3">
      <c r="A20" s="6">
        <v>15</v>
      </c>
      <c r="B20" s="7">
        <v>30</v>
      </c>
      <c r="C20" s="7">
        <v>29</v>
      </c>
      <c r="D20" s="6">
        <f t="shared" si="0"/>
        <v>-1</v>
      </c>
      <c r="E20" s="6">
        <f t="shared" si="1"/>
        <v>1</v>
      </c>
      <c r="F20" s="8">
        <f t="shared" si="2"/>
        <v>-3.3333333333333333E-2</v>
      </c>
    </row>
    <row r="21" spans="1:6" ht="15" customHeight="1" x14ac:dyDescent="0.3">
      <c r="A21" s="6">
        <v>16</v>
      </c>
      <c r="B21" s="7">
        <v>35</v>
      </c>
      <c r="C21" s="7">
        <v>33</v>
      </c>
      <c r="D21" s="6">
        <f t="shared" si="0"/>
        <v>-2</v>
      </c>
      <c r="E21" s="6">
        <f t="shared" si="1"/>
        <v>2</v>
      </c>
      <c r="F21" s="8">
        <f t="shared" si="2"/>
        <v>-5.7142857142857141E-2</v>
      </c>
    </row>
    <row r="22" spans="1:6" ht="15" customHeight="1" x14ac:dyDescent="0.3">
      <c r="A22" s="6">
        <v>17</v>
      </c>
      <c r="B22" s="7">
        <v>35</v>
      </c>
      <c r="C22" s="7">
        <v>34</v>
      </c>
      <c r="D22" s="6">
        <f t="shared" si="0"/>
        <v>-1</v>
      </c>
      <c r="E22" s="6">
        <f t="shared" si="1"/>
        <v>1</v>
      </c>
      <c r="F22" s="8">
        <f t="shared" si="2"/>
        <v>-2.8571428571428571E-2</v>
      </c>
    </row>
    <row r="23" spans="1:6" ht="15" customHeight="1" x14ac:dyDescent="0.3">
      <c r="A23" s="6">
        <v>18</v>
      </c>
      <c r="B23" s="7">
        <v>35</v>
      </c>
      <c r="C23" s="7">
        <v>33</v>
      </c>
      <c r="D23" s="6">
        <f t="shared" si="0"/>
        <v>-2</v>
      </c>
      <c r="E23" s="6">
        <f t="shared" si="1"/>
        <v>2</v>
      </c>
      <c r="F23" s="8">
        <f t="shared" si="2"/>
        <v>-5.7142857142857141E-2</v>
      </c>
    </row>
    <row r="25" spans="1:6" ht="15" customHeight="1" x14ac:dyDescent="0.3">
      <c r="A25" s="3" t="s">
        <v>6</v>
      </c>
      <c r="B25" s="3" t="s">
        <v>7</v>
      </c>
    </row>
    <row r="26" spans="1:6" ht="15" customHeight="1" x14ac:dyDescent="0.3">
      <c r="A26" s="9" t="s">
        <v>8</v>
      </c>
      <c r="B26" s="10">
        <f>COUNT(C6:C23)</f>
        <v>18</v>
      </c>
    </row>
    <row r="27" spans="1:6" ht="15" customHeight="1" x14ac:dyDescent="0.3">
      <c r="A27" s="9" t="s">
        <v>9</v>
      </c>
      <c r="B27" s="11">
        <f>IF(COUNT(D6:D23)=0,"no data yet",AVERAGE(D6:D23))</f>
        <v>-0.77777777777777779</v>
      </c>
    </row>
    <row r="28" spans="1:6" ht="15" customHeight="1" x14ac:dyDescent="0.3">
      <c r="A28" s="9" t="s">
        <v>10</v>
      </c>
      <c r="B28" s="11">
        <f>IF(COUNT(E6:E23)=0,"no data yet",AVERAGE(E6:E23))</f>
        <v>0.88888888888888884</v>
      </c>
    </row>
    <row r="29" spans="1:6" ht="15" customHeight="1" x14ac:dyDescent="0.3">
      <c r="A29" s="9" t="s">
        <v>11</v>
      </c>
      <c r="B29" s="11">
        <f>IF(COUNT(E6:E23)=0,"no data yet",MAX(E6:E23))</f>
        <v>2</v>
      </c>
    </row>
    <row r="30" spans="1:6" ht="15" customHeight="1" x14ac:dyDescent="0.3">
      <c r="A30" s="9" t="s">
        <v>12</v>
      </c>
      <c r="B30" s="11">
        <f>IF(COUNT(D6:D23)&lt;2,"no data yet",STDEV(D6:D23))</f>
        <v>0.8084520834544433</v>
      </c>
    </row>
    <row r="33" spans="1:3" ht="15" customHeight="1" x14ac:dyDescent="0.3">
      <c r="A33" s="3" t="s">
        <v>49</v>
      </c>
      <c r="B33" s="3" t="s">
        <v>7</v>
      </c>
      <c r="C33" s="3" t="s">
        <v>13</v>
      </c>
    </row>
    <row r="34" spans="1:3" ht="15" customHeight="1" x14ac:dyDescent="0.3">
      <c r="A34" s="9" t="s">
        <v>14</v>
      </c>
      <c r="B34" s="12">
        <v>30</v>
      </c>
      <c r="C34" s="2" t="s">
        <v>48</v>
      </c>
    </row>
    <row r="35" spans="1:3" ht="15" customHeight="1" x14ac:dyDescent="0.3">
      <c r="A35" s="9"/>
      <c r="B35" s="13"/>
      <c r="C35" s="2"/>
    </row>
    <row r="36" spans="1:3" ht="15" customHeight="1" x14ac:dyDescent="0.3">
      <c r="A36" s="9"/>
      <c r="B36" s="14"/>
      <c r="C36" s="2"/>
    </row>
    <row r="37" spans="1:3" ht="15" customHeight="1" x14ac:dyDescent="0.3">
      <c r="A37" s="9"/>
      <c r="B37" s="19"/>
      <c r="C37" s="2"/>
    </row>
    <row r="38" spans="1:3" ht="15" customHeight="1" x14ac:dyDescent="0.3">
      <c r="A38" s="9"/>
      <c r="B38" s="8"/>
      <c r="C38" s="2"/>
    </row>
    <row r="39" spans="1:3" ht="15" customHeight="1" x14ac:dyDescent="0.3">
      <c r="A39" s="9"/>
      <c r="B39" s="15"/>
      <c r="C39" s="2"/>
    </row>
    <row r="40" spans="1:3" ht="15" customHeight="1" x14ac:dyDescent="0.3">
      <c r="A40" s="9"/>
      <c r="B40" s="20"/>
      <c r="C40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"/>
  <sheetViews>
    <sheetView tabSelected="1" zoomScaleNormal="100" workbookViewId="0">
      <selection activeCell="A17" sqref="A17:B17"/>
    </sheetView>
  </sheetViews>
  <sheetFormatPr defaultColWidth="8.6640625" defaultRowHeight="14.4" x14ac:dyDescent="0.3"/>
  <cols>
    <col min="1" max="1" width="52" customWidth="1"/>
    <col min="2" max="2" width="34" customWidth="1"/>
    <col min="3" max="11" width="9" customWidth="1"/>
    <col min="12" max="15" width="10" customWidth="1"/>
    <col min="16" max="16" width="30" customWidth="1"/>
  </cols>
  <sheetData>
    <row r="1" spans="1:16" ht="17.25" customHeight="1" x14ac:dyDescent="0.3">
      <c r="A1" s="1" t="s">
        <v>46</v>
      </c>
    </row>
    <row r="2" spans="1:16" ht="15" customHeight="1" x14ac:dyDescent="0.3">
      <c r="A2" s="2"/>
    </row>
    <row r="3" spans="1:16" ht="15" customHeight="1" x14ac:dyDescent="0.3">
      <c r="A3" s="9" t="s">
        <v>15</v>
      </c>
      <c r="B3" s="12">
        <v>3</v>
      </c>
    </row>
    <row r="5" spans="1:16" ht="15" customHeight="1" x14ac:dyDescent="0.3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</row>
    <row r="6" spans="1:16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16"/>
      <c r="M6" s="16"/>
      <c r="N6" s="16"/>
      <c r="O6" s="16"/>
    </row>
    <row r="7" spans="1:16" ht="15" customHeight="1" x14ac:dyDescent="0.3">
      <c r="A7" s="9" t="s">
        <v>32</v>
      </c>
      <c r="B7" s="7">
        <v>2046</v>
      </c>
      <c r="C7" s="7">
        <v>2051</v>
      </c>
      <c r="D7" s="7">
        <v>2044</v>
      </c>
      <c r="E7" s="7">
        <v>2053</v>
      </c>
      <c r="F7" s="7">
        <v>2048</v>
      </c>
      <c r="G7" s="7">
        <v>2049</v>
      </c>
      <c r="H7" s="7">
        <v>2052</v>
      </c>
      <c r="I7" s="7">
        <v>2045</v>
      </c>
      <c r="J7" s="7">
        <v>2050</v>
      </c>
      <c r="K7" s="7">
        <v>2047</v>
      </c>
      <c r="L7" s="13">
        <f>IF(COUNT(B7:K7)=0,"",AVERAGE(B7:K7))</f>
        <v>2048.5</v>
      </c>
      <c r="M7" s="13">
        <f>IF(COUNT(B7:K7)&lt;2,"",STDEV(B7:K7))</f>
        <v>3.0276503540974917</v>
      </c>
      <c r="N7" s="13">
        <f>IF(COUNT(B7:K7)=0,"",MIN(B7:K7))</f>
        <v>2044</v>
      </c>
      <c r="O7" s="13">
        <f>IF(COUNT(B7:K7)=0,"",MAX(B7:K7))</f>
        <v>2053</v>
      </c>
      <c r="P7" s="17" t="s">
        <v>33</v>
      </c>
    </row>
    <row r="8" spans="1:16" ht="15" customHeight="1" x14ac:dyDescent="0.3">
      <c r="A8" s="9" t="s">
        <v>34</v>
      </c>
      <c r="B8" s="7">
        <v>2142</v>
      </c>
      <c r="C8" s="7">
        <v>2165</v>
      </c>
      <c r="D8" s="7">
        <v>2151</v>
      </c>
      <c r="E8" s="7">
        <v>2138</v>
      </c>
      <c r="F8" s="7">
        <v>2170</v>
      </c>
      <c r="G8" s="7">
        <v>2155</v>
      </c>
      <c r="H8" s="7">
        <v>2147</v>
      </c>
      <c r="I8" s="7">
        <v>2160</v>
      </c>
      <c r="J8" s="7">
        <v>2144</v>
      </c>
      <c r="K8" s="7">
        <v>2158</v>
      </c>
      <c r="L8" s="13">
        <f>IF(COUNT(B8:K8)=0,"",AVERAGE(B8:K8))</f>
        <v>2153</v>
      </c>
      <c r="M8" s="13">
        <f>IF(COUNT(B8:K8)&lt;2,"",STDEV(B8:K8))</f>
        <v>10.424330514074594</v>
      </c>
      <c r="N8" s="13">
        <f>IF(COUNT(B8:K8)=0,"",MIN(B8:K8))</f>
        <v>2138</v>
      </c>
      <c r="O8" s="13">
        <f>IF(COUNT(B8:K8)=0,"",MAX(B8:K8))</f>
        <v>2170</v>
      </c>
      <c r="P8" s="6" t="str">
        <f>IF(OR(NOT(ISNUMBER($B$16)),N8=""),"",IF(N8&gt;$B$16,"Yes","No"))</f>
        <v>Yes</v>
      </c>
    </row>
    <row r="9" spans="1:16" ht="15" customHeight="1" x14ac:dyDescent="0.3">
      <c r="A9" s="9" t="s">
        <v>35</v>
      </c>
      <c r="B9" s="7">
        <v>2236</v>
      </c>
      <c r="C9" s="7">
        <v>2261</v>
      </c>
      <c r="D9" s="7">
        <v>2224</v>
      </c>
      <c r="E9" s="7">
        <v>2278</v>
      </c>
      <c r="F9" s="7">
        <v>2249</v>
      </c>
      <c r="G9" s="7">
        <v>2231</v>
      </c>
      <c r="H9" s="7">
        <v>2267</v>
      </c>
      <c r="I9" s="7">
        <v>2243</v>
      </c>
      <c r="J9" s="7">
        <v>2229</v>
      </c>
      <c r="K9" s="7">
        <v>2255</v>
      </c>
      <c r="L9" s="13">
        <f>IF(COUNT(B9:K9)=0,"",AVERAGE(B9:K9))</f>
        <v>2247.3000000000002</v>
      </c>
      <c r="M9" s="13">
        <f>IF(COUNT(B9:K9)&lt;2,"",STDEV(B9:K9))</f>
        <v>17.85777141750896</v>
      </c>
      <c r="N9" s="13">
        <f>IF(COUNT(B9:K9)=0,"",MIN(B9:K9))</f>
        <v>2224</v>
      </c>
      <c r="O9" s="13">
        <f>IF(COUNT(B9:K9)=0,"",MAX(B9:K9))</f>
        <v>2278</v>
      </c>
      <c r="P9" s="6" t="str">
        <f>IF(OR(NOT(ISNUMBER($B$16)),N9=""),"",IF(N9&gt;$B$16,"Yes","No"))</f>
        <v>Yes</v>
      </c>
    </row>
    <row r="10" spans="1:16" ht="15" customHeight="1" x14ac:dyDescent="0.3">
      <c r="A10" s="9" t="s">
        <v>36</v>
      </c>
      <c r="B10" s="7">
        <v>2352</v>
      </c>
      <c r="C10" s="7">
        <v>2391</v>
      </c>
      <c r="D10" s="7">
        <v>2338</v>
      </c>
      <c r="E10" s="7">
        <v>2406</v>
      </c>
      <c r="F10" s="7">
        <v>2369</v>
      </c>
      <c r="G10" s="7">
        <v>2345</v>
      </c>
      <c r="H10" s="7">
        <v>2384</v>
      </c>
      <c r="I10" s="7">
        <v>2360</v>
      </c>
      <c r="J10" s="7">
        <v>2399</v>
      </c>
      <c r="K10" s="7">
        <v>2349</v>
      </c>
      <c r="L10" s="13">
        <f>IF(COUNT(B10:K10)=0,"",AVERAGE(B10:K10))</f>
        <v>2369.3000000000002</v>
      </c>
      <c r="M10" s="13">
        <f>IF(COUNT(B10:K10)&lt;2,"",STDEV(B10:K10))</f>
        <v>24.230605073382346</v>
      </c>
      <c r="N10" s="13">
        <f>IF(COUNT(B10:K10)=0,"",MIN(B10:K10))</f>
        <v>2338</v>
      </c>
      <c r="O10" s="13">
        <f>IF(COUNT(B10:K10)=0,"",MAX(B10:K10))</f>
        <v>2406</v>
      </c>
      <c r="P10" s="6" t="str">
        <f>IF(OR(NOT(ISNUMBER($B$16)),N10=""),"",IF(N10&gt;$B$16,"Yes","No"))</f>
        <v>Yes</v>
      </c>
    </row>
    <row r="11" spans="1:16" ht="15" customHeight="1" x14ac:dyDescent="0.3">
      <c r="A11" s="9" t="s">
        <v>37</v>
      </c>
      <c r="B11" s="7">
        <v>2710</v>
      </c>
      <c r="C11" s="7">
        <v>2845</v>
      </c>
      <c r="D11" s="7">
        <v>2776</v>
      </c>
      <c r="E11" s="7">
        <v>2918</v>
      </c>
      <c r="F11" s="7">
        <v>2690</v>
      </c>
      <c r="G11" s="7">
        <v>2862</v>
      </c>
      <c r="H11" s="7">
        <v>2801</v>
      </c>
      <c r="I11" s="7">
        <v>2735</v>
      </c>
      <c r="J11" s="7">
        <v>2889</v>
      </c>
      <c r="K11" s="7">
        <v>2760</v>
      </c>
      <c r="L11" s="13">
        <f>IF(COUNT(B11:K11)=0,"",AVERAGE(B11:K11))</f>
        <v>2798.6</v>
      </c>
      <c r="M11" s="13">
        <f>IF(COUNT(B11:K11)&lt;2,"",STDEV(B11:K11))</f>
        <v>77.671959762409315</v>
      </c>
      <c r="N11" s="13">
        <f>IF(COUNT(B11:K11)=0,"",MIN(B11:K11))</f>
        <v>2690</v>
      </c>
      <c r="O11" s="13">
        <f>IF(COUNT(B11:K11)=0,"",MAX(B11:K11))</f>
        <v>2918</v>
      </c>
      <c r="P11" s="6" t="str">
        <f>IF(OR(NOT(ISNUMBER($B$16)),N11=""),"",IF(N11&gt;$B$16,"Yes","No"))</f>
        <v>Yes</v>
      </c>
    </row>
    <row r="13" spans="1:16" ht="15" customHeight="1" x14ac:dyDescent="0.3">
      <c r="A13" s="3" t="s">
        <v>38</v>
      </c>
      <c r="B13" s="3" t="s">
        <v>7</v>
      </c>
    </row>
    <row r="14" spans="1:16" ht="15" customHeight="1" x14ac:dyDescent="0.3">
      <c r="A14" s="9" t="s">
        <v>39</v>
      </c>
      <c r="B14" s="18">
        <f>IF(L7="","no data yet",L7)</f>
        <v>2048.5</v>
      </c>
    </row>
    <row r="15" spans="1:16" ht="15" customHeight="1" x14ac:dyDescent="0.3">
      <c r="A15" s="9" t="s">
        <v>40</v>
      </c>
      <c r="B15" s="18">
        <f>IF(M7="","no data yet",M7)</f>
        <v>3.0276503540974917</v>
      </c>
    </row>
    <row r="16" spans="1:16" ht="15" customHeight="1" x14ac:dyDescent="0.3">
      <c r="A16" s="9" t="s">
        <v>41</v>
      </c>
      <c r="B16" s="18">
        <f>IF(OR(NOT(ISNUMBER(B14)),NOT(ISNUMBER(B15))),"no data yet",B14+B3*B15)</f>
        <v>2057.5829510622925</v>
      </c>
    </row>
    <row r="17" spans="1:2" ht="15" customHeight="1" x14ac:dyDescent="0.3">
      <c r="A17" s="21"/>
      <c r="B17" s="22"/>
    </row>
    <row r="18" spans="1:2" ht="15" customHeight="1" x14ac:dyDescent="0.3">
      <c r="A18" s="9" t="s">
        <v>42</v>
      </c>
      <c r="B18" s="18">
        <f>IF(COUNT(N8:N10)=0,"no data yet",MIN(N8:N10))</f>
        <v>2138</v>
      </c>
    </row>
    <row r="19" spans="1:2" ht="15" customHeight="1" x14ac:dyDescent="0.3">
      <c r="A19" s="9" t="s">
        <v>43</v>
      </c>
      <c r="B19" s="18">
        <f>IF(AND(ISNUMBER(B18),ISNUMBER(B16)),B18-B16,"no data yet")</f>
        <v>80.417048937707477</v>
      </c>
    </row>
    <row r="20" spans="1:2" ht="15" customHeight="1" x14ac:dyDescent="0.3">
      <c r="A20" s="9" t="s">
        <v>44</v>
      </c>
      <c r="B20" s="10" t="str">
        <f>IF(ISNUMBER(B19),IF(B19&gt;0,"YES - data supports the threshold","NO - overlap: lower the gain or re-measure"),"no data yet")</f>
        <v>YES - data supports the threshold</v>
      </c>
    </row>
    <row r="21" spans="1:2" ht="15" customHeight="1" x14ac:dyDescent="0.3">
      <c r="A21" s="9" t="s">
        <v>45</v>
      </c>
      <c r="B21" s="10" t="str">
        <f>IF(AND(ISNUMBER(B16),ISNUMBER(L11)),IF(L11&gt;B16,"Yes - the level is NOT vehicle-specific","No"),"no data yet")</f>
        <v>Yes - the level is NOT vehicle-specific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Distance Check</vt:lpstr>
      <vt:lpstr>Acoustic 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Mukesh M</cp:lastModifiedBy>
  <cp:revision>0</cp:revision>
  <dcterms:created xsi:type="dcterms:W3CDTF">2026-10-07T17:39:54Z</dcterms:created>
  <dcterms:modified xsi:type="dcterms:W3CDTF">2026-10-08T03:42:28Z</dcterms:modified>
  <dc:language>en-US</dc:language>
</cp:coreProperties>
</file>